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<sst xmlns="http://schemas.openxmlformats.org/spreadsheetml/2006/main" count="108" uniqueCount="34">
  <si>
    <t>DIPA 01 (BADAN URUSAN ADMINISTRASI)</t>
  </si>
  <si>
    <t>DIPA 01</t>
  </si>
  <si>
    <t>Persentase Realisasi Anggaran</t>
  </si>
  <si>
    <t>Realisasi Anggaran Belanja</t>
  </si>
  <si>
    <t>Realisasi Anggaran</t>
  </si>
  <si>
    <t>Neraca</t>
  </si>
  <si>
    <t>CALK</t>
  </si>
  <si>
    <t>TAHUN 2025</t>
  </si>
  <si>
    <t xml:space="preserve">Belanja Pegawai      </t>
  </si>
  <si>
    <t>Belanja Barang</t>
  </si>
  <si>
    <t>Belanja Modal</t>
  </si>
  <si>
    <t>Jumlah</t>
  </si>
  <si>
    <t xml:space="preserve">JANUARI  </t>
  </si>
  <si>
    <t>doc</t>
  </si>
  <si>
    <t>Semester 1</t>
  </si>
  <si>
    <t xml:space="preserve">FEBRUARI  </t>
  </si>
  <si>
    <t xml:space="preserve">MARET  </t>
  </si>
  <si>
    <t xml:space="preserve">APRIL  </t>
  </si>
  <si>
    <t xml:space="preserve">MEI  </t>
  </si>
  <si>
    <t xml:space="preserve">JUNI  </t>
  </si>
  <si>
    <t xml:space="preserve">JULI  </t>
  </si>
  <si>
    <t>Semester 2</t>
  </si>
  <si>
    <t xml:space="preserve">AGUSTUS  </t>
  </si>
  <si>
    <t xml:space="preserve">SEPTEMBER  </t>
  </si>
  <si>
    <t xml:space="preserve">OKTOBER  </t>
  </si>
  <si>
    <t xml:space="preserve">NOVEMBER  </t>
  </si>
  <si>
    <t xml:space="preserve">DESEMBER  </t>
  </si>
  <si>
    <t>JUMLAH</t>
  </si>
  <si>
    <t>SISA</t>
  </si>
  <si>
    <t>DIPA 04 (DIRJEN BADAN PERADILAN AGAMA)</t>
  </si>
  <si>
    <t>DIPA 04</t>
  </si>
  <si>
    <t>POSBAKUM</t>
  </si>
  <si>
    <t>Pembebasan Biaya Perkara</t>
  </si>
  <si>
    <t>Sidang Di Luar Gedung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</si>
</sst>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[$Rp-421]* #,##0_-;_-[$Rp-421]* \-#,##0_-;_-[$Rp-421]* &quot;-&quot;??_-;_-@"/>
  </numFmts>
  <fonts count="6">
    <font>
      <sz val="10.0"/>
      <color rgb="FF000000"/>
      <name val="Arial"/>
      <scheme val="minor"/>
    </font>
    <font>
      <b/>
      <color theme="1"/>
      <name val="Arial"/>
    </font>
    <font>
      <b/>
      <sz val="9.0"/>
      <color theme="1"/>
      <name val="Arial"/>
    </font>
    <font/>
    <font>
      <sz val="9.0"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1" numFmtId="0" xfId="0" applyAlignment="1" applyBorder="1" applyFill="1" applyFont="1">
      <alignment horizontal="center"/>
    </xf>
    <xf borderId="1" fillId="2" fontId="2" numFmtId="164" xfId="0" applyAlignment="1" applyBorder="1" applyFont="1" applyNumberFormat="1">
      <alignment horizontal="center" readingOrder="0" shrinkToFit="0" wrapText="1"/>
    </xf>
    <xf borderId="1" fillId="2" fontId="2" numFmtId="164" xfId="0" applyAlignment="1" applyBorder="1" applyFont="1" applyNumberFormat="1">
      <alignment horizontal="center" shrinkToFit="0" wrapText="1"/>
    </xf>
    <xf borderId="2" fillId="2" fontId="1" numFmtId="0" xfId="0" applyAlignment="1" applyBorder="1" applyFont="1">
      <alignment horizontal="center" shrinkToFit="0" wrapText="1"/>
    </xf>
    <xf borderId="1" fillId="2" fontId="1" numFmtId="0" xfId="0" applyAlignment="1" applyBorder="1" applyFont="1">
      <alignment horizontal="center" readingOrder="0"/>
    </xf>
    <xf borderId="1" fillId="2" fontId="1" numFmtId="164" xfId="0" applyAlignment="1" applyBorder="1" applyFont="1" applyNumberFormat="1">
      <alignment horizontal="center" shrinkToFit="0" wrapText="1"/>
    </xf>
    <xf borderId="1" fillId="2" fontId="1" numFmtId="0" xfId="0" applyAlignment="1" applyBorder="1" applyFont="1">
      <alignment horizontal="center" shrinkToFit="0" wrapText="1"/>
    </xf>
    <xf borderId="3" fillId="0" fontId="3" numFmtId="0" xfId="0" applyBorder="1" applyFont="1"/>
    <xf borderId="1" fillId="0" fontId="4" numFmtId="0" xfId="0" applyAlignment="1" applyBorder="1" applyFont="1">
      <alignment horizontal="right"/>
    </xf>
    <xf borderId="3" fillId="0" fontId="4" numFmtId="164" xfId="0" applyAlignment="1" applyBorder="1" applyFont="1" applyNumberFormat="1">
      <alignment horizontal="right" readingOrder="0"/>
    </xf>
    <xf borderId="3" fillId="0" fontId="4" numFmtId="164" xfId="0" applyAlignment="1" applyBorder="1" applyFont="1" applyNumberFormat="1">
      <alignment horizontal="right"/>
    </xf>
    <xf borderId="3" fillId="0" fontId="2" numFmtId="164" xfId="0" applyAlignment="1" applyBorder="1" applyFont="1" applyNumberFormat="1">
      <alignment horizontal="right"/>
    </xf>
    <xf borderId="0" fillId="3" fontId="5" numFmtId="0" xfId="0" applyAlignment="1" applyFill="1" applyFont="1">
      <alignment vertical="bottom"/>
    </xf>
    <xf borderId="1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 textRotation="90"/>
    </xf>
    <xf borderId="1" fillId="0" fontId="4" numFmtId="164" xfId="0" applyAlignment="1" applyBorder="1" applyFont="1" applyNumberFormat="1">
      <alignment horizontal="right" readingOrder="0"/>
    </xf>
    <xf borderId="1" fillId="0" fontId="2" numFmtId="164" xfId="0" applyAlignment="1" applyBorder="1" applyFont="1" applyNumberFormat="1">
      <alignment horizontal="right"/>
    </xf>
    <xf borderId="4" fillId="0" fontId="3" numFmtId="0" xfId="0" applyBorder="1" applyFont="1"/>
    <xf borderId="1" fillId="0" fontId="4" numFmtId="164" xfId="0" applyAlignment="1" applyBorder="1" applyFont="1" applyNumberFormat="1">
      <alignment horizontal="right"/>
    </xf>
    <xf borderId="1" fillId="0" fontId="5" numFmtId="164" xfId="0" applyAlignment="1" applyBorder="1" applyFont="1" applyNumberFormat="1">
      <alignment readingOrder="0"/>
    </xf>
    <xf borderId="1" fillId="3" fontId="4" numFmtId="0" xfId="0" applyAlignment="1" applyBorder="1" applyFont="1">
      <alignment horizontal="center"/>
    </xf>
    <xf borderId="1" fillId="0" fontId="2" numFmtId="10" xfId="0" applyAlignment="1" applyBorder="1" applyFont="1" applyNumberFormat="1">
      <alignment horizontal="right"/>
    </xf>
    <xf borderId="5" fillId="3" fontId="5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0" fillId="0" fontId="5" numFmtId="0" xfId="0" applyAlignment="1" applyFont="1">
      <alignment vertical="bottom"/>
    </xf>
    <xf borderId="1" fillId="2" fontId="1" numFmtId="164" xfId="0" applyAlignment="1" applyBorder="1" applyFont="1" applyNumberFormat="1">
      <alignment horizontal="center" readingOrder="0" shrinkToFit="0" wrapText="1"/>
    </xf>
    <xf borderId="1" fillId="0" fontId="2" numFmtId="164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36</xdr:row>
      <xdr:rowOff>38100</xdr:rowOff>
    </xdr:from>
    <xdr:ext cx="8524875" cy="3533775"/>
    <xdr:pic>
      <xdr:nvPicPr>
        <xdr:cNvPr id="842414565" name="Chart1" title="Diagra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</xdr:row>
      <xdr:rowOff>28575</xdr:rowOff>
    </xdr:from>
    <xdr:ext cx="8610600" cy="3533775"/>
    <xdr:pic>
      <xdr:nvPicPr>
        <xdr:cNvPr id="995657401" name="Chart2" title="Diagra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  <col customWidth="1" min="3" max="3" width="14.75"/>
    <col customWidth="1" min="4" max="4" width="14.5"/>
    <col customWidth="1" min="5" max="5" width="17.5"/>
  </cols>
  <sheetData>
    <row r="1">
      <c r="A1" s="1" t="s">
        <v>0</v>
      </c>
    </row>
    <row r="2">
      <c r="A2" s="2" t="s">
        <v>1</v>
      </c>
      <c r="B2" s="3">
        <v>2.621007E9</v>
      </c>
      <c r="C2" s="3">
        <v>1.701276E9</v>
      </c>
      <c r="D2" s="3">
        <v>2.08912E8</v>
      </c>
      <c r="E2" s="4">
        <f>SUM(B2:D2)</f>
        <v>4531195000</v>
      </c>
      <c r="F2" s="5" t="s">
        <v>2</v>
      </c>
      <c r="G2" s="5" t="s">
        <v>3</v>
      </c>
      <c r="H2" s="5" t="s">
        <v>4</v>
      </c>
      <c r="I2" s="5" t="s">
        <v>5</v>
      </c>
      <c r="J2" s="5" t="s">
        <v>6</v>
      </c>
    </row>
    <row r="3">
      <c r="A3" s="6" t="s">
        <v>7</v>
      </c>
      <c r="B3" s="7" t="s">
        <v>8</v>
      </c>
      <c r="C3" s="7" t="s">
        <v>9</v>
      </c>
      <c r="D3" s="7" t="s">
        <v>10</v>
      </c>
      <c r="E3" s="8" t="s">
        <v>11</v>
      </c>
      <c r="F3" s="9"/>
      <c r="G3" s="9"/>
      <c r="H3" s="9"/>
      <c r="I3" s="9"/>
      <c r="J3" s="9"/>
    </row>
    <row r="4">
      <c r="A4" s="10" t="s">
        <v>12</v>
      </c>
      <c r="B4" s="11">
        <v>2.90436864E8</v>
      </c>
      <c r="C4" s="11">
        <v>8.3520818E7</v>
      </c>
      <c r="D4" s="12">
        <v>0.0</v>
      </c>
      <c r="E4" s="13">
        <f t="shared" ref="E4:E15" si="1">SUM(B4:D4)</f>
        <v>373957682</v>
      </c>
      <c r="F4" s="14"/>
      <c r="G4" s="15" t="s">
        <v>13</v>
      </c>
      <c r="H4" s="16" t="s">
        <v>14</v>
      </c>
      <c r="I4" s="15" t="s">
        <v>13</v>
      </c>
      <c r="J4" s="16" t="s">
        <v>14</v>
      </c>
    </row>
    <row r="5">
      <c r="A5" s="10" t="s">
        <v>15</v>
      </c>
      <c r="B5" s="11">
        <v>1.54981629E8</v>
      </c>
      <c r="C5" s="11">
        <v>1.35707372E8</v>
      </c>
      <c r="D5" s="17">
        <v>2.08308E8</v>
      </c>
      <c r="E5" s="18">
        <f t="shared" si="1"/>
        <v>498997001</v>
      </c>
      <c r="G5" s="15" t="s">
        <v>13</v>
      </c>
      <c r="H5" s="19"/>
      <c r="I5" s="15" t="s">
        <v>13</v>
      </c>
      <c r="J5" s="19"/>
    </row>
    <row r="6">
      <c r="A6" s="10" t="s">
        <v>16</v>
      </c>
      <c r="B6" s="11">
        <v>3.10243865E8</v>
      </c>
      <c r="C6" s="11">
        <v>1.21275863E8</v>
      </c>
      <c r="D6" s="20">
        <v>0.0</v>
      </c>
      <c r="E6" s="18">
        <f t="shared" si="1"/>
        <v>431519728</v>
      </c>
      <c r="G6" s="15" t="s">
        <v>13</v>
      </c>
      <c r="H6" s="19"/>
      <c r="I6" s="15" t="s">
        <v>13</v>
      </c>
      <c r="J6" s="19"/>
    </row>
    <row r="7">
      <c r="A7" s="10" t="s">
        <v>17</v>
      </c>
      <c r="B7" s="11">
        <v>1.56485869E8</v>
      </c>
      <c r="C7" s="11">
        <v>1.14516722E8</v>
      </c>
      <c r="D7" s="20">
        <v>0.0</v>
      </c>
      <c r="E7" s="18">
        <f t="shared" si="1"/>
        <v>271002591</v>
      </c>
      <c r="G7" s="15" t="s">
        <v>13</v>
      </c>
      <c r="H7" s="19"/>
      <c r="I7" s="15" t="s">
        <v>13</v>
      </c>
      <c r="J7" s="19"/>
    </row>
    <row r="8">
      <c r="A8" s="10" t="s">
        <v>18</v>
      </c>
      <c r="B8" s="11">
        <v>3.10145164E8</v>
      </c>
      <c r="C8" s="11">
        <v>9.7472E7</v>
      </c>
      <c r="D8" s="20">
        <v>0.0</v>
      </c>
      <c r="E8" s="18">
        <f t="shared" si="1"/>
        <v>407617164</v>
      </c>
      <c r="G8" s="15" t="s">
        <v>13</v>
      </c>
      <c r="H8" s="19"/>
      <c r="I8" s="15" t="s">
        <v>13</v>
      </c>
      <c r="J8" s="19"/>
    </row>
    <row r="9">
      <c r="A9" s="10" t="s">
        <v>19</v>
      </c>
      <c r="B9" s="11">
        <v>1.56485869E8</v>
      </c>
      <c r="C9" s="11">
        <v>1.24083047E8</v>
      </c>
      <c r="D9" s="20">
        <v>0.0</v>
      </c>
      <c r="E9" s="18">
        <f t="shared" si="1"/>
        <v>280568916</v>
      </c>
      <c r="G9" s="15" t="s">
        <v>13</v>
      </c>
      <c r="H9" s="9"/>
      <c r="I9" s="15" t="s">
        <v>13</v>
      </c>
      <c r="J9" s="9"/>
    </row>
    <row r="10">
      <c r="A10" s="10" t="s">
        <v>20</v>
      </c>
      <c r="B10" s="11">
        <v>1.27587516E8</v>
      </c>
      <c r="C10" s="11">
        <v>2.61533047E8</v>
      </c>
      <c r="D10" s="20">
        <v>0.0</v>
      </c>
      <c r="E10" s="18">
        <f t="shared" si="1"/>
        <v>389120563</v>
      </c>
      <c r="G10" s="15" t="s">
        <v>13</v>
      </c>
      <c r="H10" s="16" t="s">
        <v>21</v>
      </c>
      <c r="I10" s="15" t="s">
        <v>13</v>
      </c>
      <c r="J10" s="16" t="s">
        <v>21</v>
      </c>
    </row>
    <row r="11">
      <c r="A11" s="10" t="s">
        <v>22</v>
      </c>
      <c r="B11" s="11">
        <v>1.32849517E8</v>
      </c>
      <c r="C11" s="11">
        <v>2.19110724E8</v>
      </c>
      <c r="D11" s="20">
        <v>0.0</v>
      </c>
      <c r="E11" s="18">
        <f t="shared" si="1"/>
        <v>351960241</v>
      </c>
      <c r="G11" s="15" t="s">
        <v>13</v>
      </c>
      <c r="H11" s="19"/>
      <c r="I11" s="15" t="s">
        <v>13</v>
      </c>
      <c r="J11" s="19"/>
    </row>
    <row r="12">
      <c r="A12" s="10" t="s">
        <v>23</v>
      </c>
      <c r="B12" s="11">
        <v>2.10588781E8</v>
      </c>
      <c r="C12" s="11">
        <v>1.19211499E8</v>
      </c>
      <c r="D12" s="20">
        <v>0.0</v>
      </c>
      <c r="E12" s="18">
        <f t="shared" si="1"/>
        <v>329800280</v>
      </c>
      <c r="G12" s="15" t="s">
        <v>13</v>
      </c>
      <c r="H12" s="19"/>
      <c r="I12" s="15" t="s">
        <v>13</v>
      </c>
      <c r="J12" s="19"/>
    </row>
    <row r="13">
      <c r="A13" s="10" t="s">
        <v>24</v>
      </c>
      <c r="B13" s="11">
        <v>2.15013283E8</v>
      </c>
      <c r="C13" s="11">
        <v>1.9417096E8</v>
      </c>
      <c r="D13" s="20">
        <v>0.0</v>
      </c>
      <c r="E13" s="18">
        <f t="shared" si="1"/>
        <v>409184243</v>
      </c>
      <c r="G13" s="15" t="s">
        <v>13</v>
      </c>
      <c r="H13" s="19"/>
      <c r="I13" s="15" t="s">
        <v>13</v>
      </c>
      <c r="J13" s="19"/>
    </row>
    <row r="14">
      <c r="A14" s="10" t="s">
        <v>25</v>
      </c>
      <c r="B14" s="11">
        <v>2.17230797E8</v>
      </c>
      <c r="C14" s="11">
        <v>9.7845285E7</v>
      </c>
      <c r="D14" s="20">
        <v>0.0</v>
      </c>
      <c r="E14" s="18">
        <f t="shared" si="1"/>
        <v>315076082</v>
      </c>
      <c r="G14" s="15" t="s">
        <v>13</v>
      </c>
      <c r="H14" s="19"/>
      <c r="I14" s="15" t="s">
        <v>13</v>
      </c>
      <c r="J14" s="19"/>
    </row>
    <row r="15">
      <c r="A15" s="10" t="s">
        <v>26</v>
      </c>
      <c r="B15" s="21">
        <v>2.24104394E8</v>
      </c>
      <c r="C15" s="21">
        <v>1.2743952E8</v>
      </c>
      <c r="D15" s="21">
        <v>0.0</v>
      </c>
      <c r="E15" s="18">
        <f t="shared" si="1"/>
        <v>351543914</v>
      </c>
      <c r="G15" s="15" t="s">
        <v>13</v>
      </c>
      <c r="H15" s="9"/>
      <c r="I15" s="15" t="s">
        <v>13</v>
      </c>
      <c r="J15" s="9"/>
    </row>
    <row r="16">
      <c r="A16" s="22" t="s">
        <v>27</v>
      </c>
      <c r="B16" s="18">
        <f t="shared" ref="B16:E16" si="2">SUM(B4:B15)</f>
        <v>2506153548</v>
      </c>
      <c r="C16" s="18">
        <f t="shared" si="2"/>
        <v>1695886857</v>
      </c>
      <c r="D16" s="18">
        <f t="shared" si="2"/>
        <v>208308000</v>
      </c>
      <c r="E16" s="18">
        <f t="shared" si="2"/>
        <v>4410348405</v>
      </c>
      <c r="F16" s="23">
        <f>E16/E2</f>
        <v>0.9733300829</v>
      </c>
      <c r="G16" s="24"/>
      <c r="H16" s="25"/>
      <c r="I16" s="25"/>
      <c r="J16" s="26"/>
    </row>
    <row r="17">
      <c r="A17" s="22" t="s">
        <v>28</v>
      </c>
      <c r="B17" s="18">
        <f t="shared" ref="B17:E17" si="3">B2-B16</f>
        <v>114853452</v>
      </c>
      <c r="C17" s="18">
        <f t="shared" si="3"/>
        <v>5389143</v>
      </c>
      <c r="D17" s="18">
        <f t="shared" si="3"/>
        <v>604000</v>
      </c>
      <c r="E17" s="18">
        <f t="shared" si="3"/>
        <v>120846595</v>
      </c>
      <c r="F17" s="23">
        <f>E17/E2</f>
        <v>0.0266699171</v>
      </c>
      <c r="G17" s="27"/>
      <c r="H17" s="28"/>
      <c r="I17" s="28"/>
      <c r="J17" s="29"/>
    </row>
    <row r="18">
      <c r="A18" s="30"/>
      <c r="B18" s="30"/>
      <c r="C18" s="30"/>
      <c r="D18" s="30"/>
      <c r="E18" s="30"/>
      <c r="F18" s="30"/>
      <c r="G18" s="30"/>
      <c r="H18" s="30"/>
      <c r="I18" s="30"/>
      <c r="J18" s="30"/>
    </row>
    <row r="19">
      <c r="A19" s="1" t="s">
        <v>29</v>
      </c>
    </row>
    <row r="20">
      <c r="A20" s="2" t="s">
        <v>30</v>
      </c>
      <c r="B20" s="7">
        <v>3.0E7</v>
      </c>
      <c r="C20" s="31">
        <v>8250000.0</v>
      </c>
      <c r="D20" s="7">
        <v>4.0E7</v>
      </c>
      <c r="E20" s="7">
        <f>SUM(B20:D20)</f>
        <v>78250000</v>
      </c>
      <c r="F20" s="5" t="s">
        <v>2</v>
      </c>
      <c r="G20" s="5" t="s">
        <v>3</v>
      </c>
      <c r="H20" s="5" t="s">
        <v>4</v>
      </c>
      <c r="I20" s="5" t="s">
        <v>5</v>
      </c>
      <c r="J20" s="5" t="s">
        <v>6</v>
      </c>
    </row>
    <row r="21">
      <c r="A21" s="6" t="s">
        <v>7</v>
      </c>
      <c r="B21" s="7" t="s">
        <v>31</v>
      </c>
      <c r="C21" s="7" t="s">
        <v>32</v>
      </c>
      <c r="D21" s="7" t="s">
        <v>33</v>
      </c>
      <c r="E21" s="8" t="s">
        <v>11</v>
      </c>
      <c r="F21" s="9"/>
      <c r="G21" s="9"/>
      <c r="H21" s="9"/>
      <c r="I21" s="9"/>
      <c r="J21" s="9"/>
    </row>
    <row r="22">
      <c r="A22" s="10" t="s">
        <v>12</v>
      </c>
      <c r="B22" s="12">
        <v>0.0</v>
      </c>
      <c r="C22" s="12">
        <v>0.0</v>
      </c>
      <c r="D22" s="11">
        <v>9070000.0</v>
      </c>
      <c r="E22" s="13">
        <f t="shared" ref="E22:E33" si="4">SUM(B22:D22)</f>
        <v>9070000</v>
      </c>
      <c r="F22" s="14"/>
      <c r="G22" s="15" t="s">
        <v>13</v>
      </c>
      <c r="H22" s="16" t="s">
        <v>14</v>
      </c>
      <c r="I22" s="15" t="s">
        <v>13</v>
      </c>
      <c r="J22" s="16" t="s">
        <v>14</v>
      </c>
    </row>
    <row r="23">
      <c r="A23" s="10" t="s">
        <v>15</v>
      </c>
      <c r="B23" s="11">
        <v>2700000.0</v>
      </c>
      <c r="C23" s="12">
        <v>0.0</v>
      </c>
      <c r="D23" s="11">
        <v>6790000.0</v>
      </c>
      <c r="E23" s="18">
        <f t="shared" si="4"/>
        <v>9490000</v>
      </c>
      <c r="G23" s="15" t="s">
        <v>13</v>
      </c>
      <c r="H23" s="19"/>
      <c r="I23" s="15" t="s">
        <v>13</v>
      </c>
      <c r="J23" s="19"/>
    </row>
    <row r="24">
      <c r="A24" s="10" t="s">
        <v>16</v>
      </c>
      <c r="B24" s="11">
        <v>4200000.0</v>
      </c>
      <c r="C24" s="11">
        <v>678000.0</v>
      </c>
      <c r="D24" s="11">
        <v>860000.0</v>
      </c>
      <c r="E24" s="18">
        <f t="shared" si="4"/>
        <v>5738000</v>
      </c>
      <c r="G24" s="15" t="s">
        <v>13</v>
      </c>
      <c r="H24" s="19"/>
      <c r="I24" s="15" t="s">
        <v>13</v>
      </c>
      <c r="J24" s="19"/>
    </row>
    <row r="25">
      <c r="A25" s="10" t="s">
        <v>17</v>
      </c>
      <c r="B25" s="11">
        <v>800000.0</v>
      </c>
      <c r="C25" s="12">
        <v>0.0</v>
      </c>
      <c r="D25" s="11">
        <v>2.293E7</v>
      </c>
      <c r="E25" s="18">
        <f t="shared" si="4"/>
        <v>23730000</v>
      </c>
      <c r="G25" s="15" t="s">
        <v>13</v>
      </c>
      <c r="H25" s="19"/>
      <c r="I25" s="15" t="s">
        <v>13</v>
      </c>
      <c r="J25" s="19"/>
    </row>
    <row r="26">
      <c r="A26" s="10" t="s">
        <v>18</v>
      </c>
      <c r="B26" s="11">
        <v>5500000.0</v>
      </c>
      <c r="C26" s="11">
        <v>273000.0</v>
      </c>
      <c r="D26" s="12">
        <v>0.0</v>
      </c>
      <c r="E26" s="18">
        <f t="shared" si="4"/>
        <v>5773000</v>
      </c>
      <c r="G26" s="15" t="s">
        <v>13</v>
      </c>
      <c r="H26" s="19"/>
      <c r="I26" s="15" t="s">
        <v>13</v>
      </c>
      <c r="J26" s="19"/>
    </row>
    <row r="27">
      <c r="A27" s="10" t="s">
        <v>19</v>
      </c>
      <c r="B27" s="11">
        <v>4400000.0</v>
      </c>
      <c r="C27" s="12">
        <v>0.0</v>
      </c>
      <c r="D27" s="12">
        <v>0.0</v>
      </c>
      <c r="E27" s="18">
        <f t="shared" si="4"/>
        <v>4400000</v>
      </c>
      <c r="G27" s="15" t="s">
        <v>13</v>
      </c>
      <c r="H27" s="9"/>
      <c r="I27" s="15" t="s">
        <v>13</v>
      </c>
      <c r="J27" s="9"/>
    </row>
    <row r="28">
      <c r="A28" s="10" t="s">
        <v>20</v>
      </c>
      <c r="B28" s="11">
        <v>3900000.0</v>
      </c>
      <c r="C28" s="12">
        <v>0.0</v>
      </c>
      <c r="D28" s="12">
        <v>0.0</v>
      </c>
      <c r="E28" s="18">
        <f t="shared" si="4"/>
        <v>3900000</v>
      </c>
      <c r="G28" s="15" t="s">
        <v>13</v>
      </c>
      <c r="H28" s="16" t="s">
        <v>21</v>
      </c>
      <c r="I28" s="15" t="s">
        <v>13</v>
      </c>
      <c r="J28" s="16" t="s">
        <v>21</v>
      </c>
    </row>
    <row r="29">
      <c r="A29" s="10" t="s">
        <v>22</v>
      </c>
      <c r="B29" s="11">
        <v>4900000.0</v>
      </c>
      <c r="C29" s="12">
        <v>0.0</v>
      </c>
      <c r="D29" s="12">
        <v>0.0</v>
      </c>
      <c r="E29" s="18">
        <f t="shared" si="4"/>
        <v>4900000</v>
      </c>
      <c r="G29" s="15" t="s">
        <v>13</v>
      </c>
      <c r="H29" s="19"/>
      <c r="I29" s="15" t="s">
        <v>13</v>
      </c>
      <c r="J29" s="19"/>
    </row>
    <row r="30">
      <c r="A30" s="10" t="s">
        <v>23</v>
      </c>
      <c r="B30" s="11">
        <v>2500000.0</v>
      </c>
      <c r="C30" s="11">
        <v>540000.0</v>
      </c>
      <c r="D30" s="12">
        <v>0.0</v>
      </c>
      <c r="E30" s="18">
        <f t="shared" si="4"/>
        <v>3040000</v>
      </c>
      <c r="G30" s="15" t="s">
        <v>13</v>
      </c>
      <c r="H30" s="19"/>
      <c r="I30" s="15" t="s">
        <v>13</v>
      </c>
      <c r="J30" s="19"/>
    </row>
    <row r="31">
      <c r="A31" s="10" t="s">
        <v>24</v>
      </c>
      <c r="B31" s="11">
        <v>1100000.0</v>
      </c>
      <c r="C31" s="12">
        <v>0.0</v>
      </c>
      <c r="D31" s="11">
        <v>253807.0</v>
      </c>
      <c r="E31" s="18">
        <f t="shared" si="4"/>
        <v>1353807</v>
      </c>
      <c r="G31" s="15" t="s">
        <v>13</v>
      </c>
      <c r="H31" s="19"/>
      <c r="I31" s="15" t="s">
        <v>13</v>
      </c>
      <c r="J31" s="19"/>
    </row>
    <row r="32">
      <c r="A32" s="10" t="s">
        <v>25</v>
      </c>
      <c r="B32" s="12">
        <v>0.0</v>
      </c>
      <c r="C32" s="12">
        <v>0.0</v>
      </c>
      <c r="D32" s="12">
        <v>0.0</v>
      </c>
      <c r="E32" s="18">
        <f t="shared" si="4"/>
        <v>0</v>
      </c>
      <c r="G32" s="15" t="s">
        <v>13</v>
      </c>
      <c r="H32" s="19"/>
      <c r="I32" s="15" t="s">
        <v>13</v>
      </c>
      <c r="J32" s="19"/>
    </row>
    <row r="33">
      <c r="A33" s="10" t="s">
        <v>26</v>
      </c>
      <c r="B33" s="12">
        <v>0.0</v>
      </c>
      <c r="C33" s="12">
        <v>0.0</v>
      </c>
      <c r="D33" s="12">
        <v>0.0</v>
      </c>
      <c r="E33" s="18">
        <f t="shared" si="4"/>
        <v>0</v>
      </c>
      <c r="G33" s="15" t="s">
        <v>13</v>
      </c>
      <c r="H33" s="9"/>
      <c r="I33" s="15" t="s">
        <v>13</v>
      </c>
      <c r="J33" s="9"/>
    </row>
    <row r="34">
      <c r="A34" s="22" t="s">
        <v>27</v>
      </c>
      <c r="B34" s="32">
        <f t="shared" ref="B34:E34" si="5">SUM(B22:B33)</f>
        <v>30000000</v>
      </c>
      <c r="C34" s="32">
        <f t="shared" si="5"/>
        <v>1491000</v>
      </c>
      <c r="D34" s="32">
        <f t="shared" si="5"/>
        <v>39903807</v>
      </c>
      <c r="E34" s="32">
        <f t="shared" si="5"/>
        <v>71394807</v>
      </c>
      <c r="F34" s="23">
        <f>E34/E20</f>
        <v>0.9123936997</v>
      </c>
      <c r="G34" s="24"/>
      <c r="H34" s="25"/>
      <c r="I34" s="25"/>
      <c r="J34" s="26"/>
    </row>
    <row r="35">
      <c r="A35" s="22" t="s">
        <v>28</v>
      </c>
      <c r="B35" s="32">
        <f t="shared" ref="B35:E35" si="6">B20-B34</f>
        <v>0</v>
      </c>
      <c r="C35" s="32">
        <f t="shared" si="6"/>
        <v>6759000</v>
      </c>
      <c r="D35" s="32">
        <f t="shared" si="6"/>
        <v>96193</v>
      </c>
      <c r="E35" s="32">
        <f t="shared" si="6"/>
        <v>6855193</v>
      </c>
      <c r="F35" s="23">
        <f>E35/E20</f>
        <v>0.08760630032</v>
      </c>
      <c r="G35" s="27"/>
      <c r="H35" s="28"/>
      <c r="I35" s="28"/>
      <c r="J35" s="29"/>
    </row>
  </sheetData>
  <mergeCells count="24">
    <mergeCell ref="J2:J3"/>
    <mergeCell ref="J4:J9"/>
    <mergeCell ref="F4:F15"/>
    <mergeCell ref="F20:F21"/>
    <mergeCell ref="F22:F33"/>
    <mergeCell ref="A1:J1"/>
    <mergeCell ref="F2:F3"/>
    <mergeCell ref="G2:G3"/>
    <mergeCell ref="H2:H3"/>
    <mergeCell ref="I2:I3"/>
    <mergeCell ref="H4:H9"/>
    <mergeCell ref="A19:J19"/>
    <mergeCell ref="J20:J21"/>
    <mergeCell ref="J22:J27"/>
    <mergeCell ref="H28:H33"/>
    <mergeCell ref="J28:J33"/>
    <mergeCell ref="G34:J35"/>
    <mergeCell ref="H10:H15"/>
    <mergeCell ref="J10:J15"/>
    <mergeCell ref="G16:J17"/>
    <mergeCell ref="G20:G21"/>
    <mergeCell ref="H20:H21"/>
    <mergeCell ref="I20:I21"/>
    <mergeCell ref="H22:H27"/>
  </mergeCells>
  <drawing r:id="rId1"/>
</worksheet>
</file>